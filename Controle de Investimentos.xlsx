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f8abf085c2d1c/Documentos/"/>
    </mc:Choice>
  </mc:AlternateContent>
  <xr:revisionPtr revIDLastSave="18" documentId="8_{70C9F821-D73C-41C0-9361-9671CE26E815}" xr6:coauthVersionLast="47" xr6:coauthVersionMax="47" xr10:uidLastSave="{E7CDEBB0-471C-4348-8950-9939113735FA}"/>
  <bookViews>
    <workbookView xWindow="-120" yWindow="-120" windowWidth="29040" windowHeight="15720" xr2:uid="{5DEB4B04-41CD-4917-AAA4-51F3BA9FE5BC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>Planilha1!$D$17</definedName>
    <definedName name="patrimonio">Planilha1!$D$20</definedName>
    <definedName name="qtd_anos">Planilha1!$D$18</definedName>
    <definedName name="rend">Planilha1!$D$13</definedName>
    <definedName name="rend_cart">Planilha1!$D$13</definedName>
    <definedName name="rend_carteira">Planilha1!$D$13</definedName>
    <definedName name="rend_config">Planilha1!$D$13</definedName>
    <definedName name="rendimento_carteira">Planilha1!$D$13</definedName>
    <definedName name="RENDIMENTOS">Planilha1!$D$13</definedName>
    <definedName name="taxa_mensal">Planilha1!$D$19</definedName>
    <definedName name="taxadomes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41" i="1"/>
  <c r="C40" i="1"/>
  <c r="C39" i="1"/>
  <c r="C38" i="1"/>
  <c r="C37" i="1"/>
  <c r="C36" i="1"/>
  <c r="C33" i="1" l="1"/>
  <c r="D20" i="1"/>
  <c r="D21" i="1" s="1"/>
  <c r="C28" i="1"/>
  <c r="D28" i="1" s="1"/>
  <c r="C27" i="1"/>
  <c r="D27" i="1" s="1"/>
  <c r="C26" i="1"/>
  <c r="D26" i="1" s="1"/>
  <c r="C25" i="1"/>
  <c r="D25" i="1" s="1"/>
  <c r="C24" i="1"/>
  <c r="D24" i="1" s="1"/>
  <c r="D14" i="1"/>
  <c r="D38" i="1" l="1"/>
  <c r="D39" i="1"/>
  <c r="D36" i="1"/>
  <c r="D40" i="1"/>
  <c r="D37" i="1"/>
  <c r="D41" i="1"/>
  <c r="D42" i="1" l="1"/>
</calcChain>
</file>

<file path=xl/sharedStrings.xml><?xml version="1.0" encoding="utf-8"?>
<sst xmlns="http://schemas.openxmlformats.org/spreadsheetml/2006/main" count="70" uniqueCount="34">
  <si>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</si>
  <si>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</si>
  <si>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</si>
  <si>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</si>
  <si>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</si>
  <si>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</si>
  <si>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</si>
  <si>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</si>
  <si>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</si>
  <si>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</si>
  <si>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</si>
  <si>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</si>
  <si>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</si>
  <si>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CONFIGURAÇÕES</t>
  </si>
  <si>
    <t>Salário</t>
  </si>
  <si>
    <t>Rendimento Carteira</t>
  </si>
  <si>
    <t>Sugestão de Investimento (30%)</t>
  </si>
  <si>
    <t>PERFIL</t>
  </si>
  <si>
    <t>VALOR A SER INVESTIDO POR MÊS</t>
  </si>
  <si>
    <t>Agressivo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</si>
  <si>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</si>
  <si>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</si>
  <si>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</si>
  <si>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</si>
  <si>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</si>
  <si>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</si>
  <si>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</si>
  <si>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</si>
  <si>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</si>
  <si>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Moderado</t>
  </si>
  <si>
    <t>Conservador</t>
  </si>
  <si>
    <t>CHAVE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</si>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</sst>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11"/>
      <color theme="1"/>
      <name val="Segoe UI Semibold"/>
      <family val="2"/>
    </font>
    <font>
      <sz val="12"/>
      <color theme="1"/>
      <name val="Segoe UI Semibold"/>
      <family val="2"/>
    </font>
    <font>
      <b/>
      <sz val="12"/>
      <color theme="1"/>
      <name val="Segoe UI Semibold"/>
      <family val="2"/>
    </font>
    <font>
      <sz val="11"/>
      <color rgb="FF9C5700"/>
      <name val="Segoe UI Semi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6" fillId="4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right"/>
    </xf>
    <xf numFmtId="0" fontId="7" fillId="6" borderId="3" xfId="0" applyFont="1" applyFill="1" applyBorder="1" applyAlignment="1">
      <alignment horizontal="right" vertical="center"/>
    </xf>
    <xf numFmtId="0" fontId="4" fillId="0" borderId="0" xfId="0" applyFont="1"/>
    <xf numFmtId="164" fontId="8" fillId="5" borderId="12" xfId="0" applyNumberFormat="1" applyFont="1" applyFill="1" applyBorder="1" applyAlignment="1">
      <alignment horizontal="center"/>
    </xf>
    <xf numFmtId="8" fontId="9" fillId="3" borderId="12" xfId="0" applyNumberFormat="1" applyFont="1" applyFill="1" applyBorder="1" applyAlignment="1">
      <alignment horizontal="center"/>
    </xf>
    <xf numFmtId="164" fontId="8" fillId="3" borderId="21" xfId="0" applyNumberFormat="1" applyFont="1" applyFill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0" fontId="8" fillId="0" borderId="9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0" fontId="9" fillId="0" borderId="9" xfId="0" applyNumberFormat="1" applyFont="1" applyBorder="1" applyAlignment="1">
      <alignment horizontal="center"/>
    </xf>
    <xf numFmtId="8" fontId="9" fillId="3" borderId="9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left" indent="3"/>
    </xf>
    <xf numFmtId="164" fontId="8" fillId="3" borderId="14" xfId="0" applyNumberFormat="1" applyFont="1" applyFill="1" applyBorder="1" applyAlignment="1">
      <alignment horizontal="center"/>
    </xf>
    <xf numFmtId="164" fontId="8" fillId="3" borderId="15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left" indent="3"/>
    </xf>
    <xf numFmtId="164" fontId="8" fillId="3" borderId="17" xfId="0" applyNumberFormat="1" applyFont="1" applyFill="1" applyBorder="1" applyAlignment="1">
      <alignment horizontal="center"/>
    </xf>
    <xf numFmtId="164" fontId="8" fillId="3" borderId="18" xfId="0" applyNumberFormat="1" applyFont="1" applyFill="1" applyBorder="1" applyAlignment="1">
      <alignment horizontal="center"/>
    </xf>
    <xf numFmtId="0" fontId="10" fillId="3" borderId="19" xfId="0" applyFont="1" applyFill="1" applyBorder="1" applyAlignment="1">
      <alignment horizontal="left" indent="3"/>
    </xf>
    <xf numFmtId="164" fontId="8" fillId="3" borderId="20" xfId="0" applyNumberFormat="1" applyFont="1" applyFill="1" applyBorder="1" applyAlignment="1">
      <alignment horizontal="center"/>
    </xf>
    <xf numFmtId="0" fontId="2" fillId="2" borderId="0" xfId="2"/>
    <xf numFmtId="0" fontId="3" fillId="5" borderId="0" xfId="0" applyFont="1" applyFill="1"/>
    <xf numFmtId="0" fontId="12" fillId="2" borderId="0" xfId="2" applyFont="1"/>
    <xf numFmtId="0" fontId="12" fillId="2" borderId="0" xfId="2" applyFont="1" applyAlignment="1">
      <alignment horizontal="center"/>
    </xf>
    <xf numFmtId="0" fontId="9" fillId="5" borderId="0" xfId="0" applyFont="1" applyFill="1"/>
    <xf numFmtId="164" fontId="9" fillId="5" borderId="0" xfId="1" applyNumberFormat="1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indent="3"/>
    </xf>
    <xf numFmtId="0" fontId="11" fillId="3" borderId="8" xfId="0" applyFont="1" applyFill="1" applyBorder="1" applyAlignment="1">
      <alignment horizontal="left" indent="3"/>
    </xf>
    <xf numFmtId="0" fontId="10" fillId="5" borderId="4" xfId="0" applyFont="1" applyFill="1" applyBorder="1" applyAlignment="1">
      <alignment horizontal="left" indent="3"/>
    </xf>
    <xf numFmtId="0" fontId="10" fillId="5" borderId="5" xfId="0" applyFont="1" applyFill="1" applyBorder="1" applyAlignment="1">
      <alignment horizontal="left" indent="3"/>
    </xf>
    <xf numFmtId="0" fontId="5" fillId="4" borderId="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indent="3"/>
    </xf>
    <xf numFmtId="0" fontId="10" fillId="5" borderId="8" xfId="0" applyFont="1" applyFill="1" applyBorder="1" applyAlignment="1">
      <alignment horizontal="left" indent="3"/>
    </xf>
    <xf numFmtId="0" fontId="11" fillId="3" borderId="10" xfId="0" applyFont="1" applyFill="1" applyBorder="1" applyAlignment="1">
      <alignment horizontal="left" indent="3"/>
    </xf>
    <xf numFmtId="0" fontId="11" fillId="3" borderId="11" xfId="0" applyFont="1" applyFill="1" applyBorder="1" applyAlignment="1">
      <alignment horizontal="left" indent="3"/>
    </xf>
    <xf numFmtId="0" fontId="10" fillId="5" borderId="10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3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9" fontId="2" fillId="2" borderId="0" xfId="3" applyFont="1" applyFill="1"/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2-47BE-A2BF-570F85D4A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581025</xdr:colOff>
      <xdr:row>1</xdr:row>
      <xdr:rowOff>9525</xdr:rowOff>
    </xdr:from>
    <xdr:to>
      <xdr:col>4</xdr:col>
      <xdr:colOff>0</xdr:colOff>
      <xdr:row>9</xdr:row>
      <xdr:rowOff>44236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5B43D5-9174-A413-504E-0EFA8820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00025"/>
          <a:ext cx="7943850" cy="155871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90487</xdr:rowOff>
    </xdr:from>
    <xdr:to>
      <xdr:col>4</xdr:col>
      <xdr:colOff>0</xdr:colOff>
      <xdr:row>56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67FF72-9A8B-5312-03FE-C8D8EE9E5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NICIUS%20&amp;%20VITORIA\Downloads\a04b81b1-8e35-4e72-aeb9-98aed8ed4403.xlsx" TargetMode="External"/><Relationship Id="rId1" Type="http://schemas.openxmlformats.org/officeDocument/2006/relationships/externalLinkPath" Target="file:///C:\Users\VINICIUS%20&amp;%20VITORIA\Downloads\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>
        <row r="2">
          <cell r="A2" t="str">
            <v>CHAVE</v>
          </cell>
          <cell r="B2" t="str">
            <v>PERFIL</v>
          </cell>
          <cell r="C2" t="str">
            <v>TIPO DE FII</v>
          </cell>
          <cell r="D2" t="str">
            <v>%</v>
          </cell>
        </row>
        <row r="3">
          <cell r="A3" t="str">
            <v>Conservador-PAPEL</v>
          </cell>
          <cell r="B3" t="str">
            <v>Conservador</v>
          </cell>
          <cell r="C3" t="str">
            <v>PAPEL</v>
          </cell>
          <cell r="D3">
            <v>0.3</v>
          </cell>
        </row>
        <row r="4">
          <cell r="A4" t="str">
            <v>Conservador-TIJOLO</v>
          </cell>
          <cell r="B4" t="str">
            <v>Conservador</v>
          </cell>
          <cell r="C4" t="str">
            <v>TIJOLO</v>
          </cell>
          <cell r="D4">
            <v>0.5</v>
          </cell>
        </row>
        <row r="5">
          <cell r="A5" t="str">
            <v>Conservador-HÍBRIDOS</v>
          </cell>
          <cell r="B5" t="str">
            <v>Conservador</v>
          </cell>
          <cell r="C5" t="str">
            <v>HÍBRIDOS</v>
          </cell>
          <cell r="D5">
            <v>0.1</v>
          </cell>
        </row>
        <row r="6">
          <cell r="A6" t="str">
            <v>Conservador-FOFs</v>
          </cell>
          <cell r="B6" t="str">
            <v>Conservador</v>
          </cell>
          <cell r="C6" t="str">
            <v>FOFs</v>
          </cell>
          <cell r="D6">
            <v>0.1</v>
          </cell>
        </row>
        <row r="7">
          <cell r="A7" t="str">
            <v>Conservador-DESENVOLVIMENTO</v>
          </cell>
          <cell r="B7" t="str">
            <v>Conservador</v>
          </cell>
          <cell r="C7" t="str">
            <v>DESENVOLVIMENTO</v>
          </cell>
          <cell r="D7">
            <v>0</v>
          </cell>
        </row>
        <row r="8">
          <cell r="A8" t="str">
            <v>Conservador-HOTELARIAS</v>
          </cell>
          <cell r="B8" t="str">
            <v>Conservador</v>
          </cell>
          <cell r="C8" t="str">
            <v>HOTELARIAS</v>
          </cell>
          <cell r="D8">
            <v>0</v>
          </cell>
        </row>
        <row r="9">
          <cell r="A9" t="str">
            <v>Moderado-PAPEL</v>
          </cell>
          <cell r="B9" t="str">
            <v>Moderado</v>
          </cell>
          <cell r="C9" t="str">
            <v>PAPEL</v>
          </cell>
          <cell r="D9">
            <v>0.32</v>
          </cell>
        </row>
        <row r="10">
          <cell r="A10" t="str">
            <v>Moderado-TIJOLO</v>
          </cell>
          <cell r="B10" t="str">
            <v>Moderado</v>
          </cell>
          <cell r="C10" t="str">
            <v>TIJOLO</v>
          </cell>
          <cell r="D10">
            <v>0.35</v>
          </cell>
        </row>
        <row r="11">
          <cell r="A11" t="str">
            <v>Moderado-HÍBRIDOS</v>
          </cell>
          <cell r="B11" t="str">
            <v>Moderado</v>
          </cell>
          <cell r="C11" t="str">
            <v>HÍBRIDOS</v>
          </cell>
          <cell r="D11">
            <v>0.08</v>
          </cell>
        </row>
        <row r="12">
          <cell r="A12" t="str">
            <v>Moderado-FOFs</v>
          </cell>
          <cell r="B12" t="str">
            <v>Moderado</v>
          </cell>
          <cell r="C12" t="str">
            <v>FOFs</v>
          </cell>
          <cell r="D12">
            <v>0.05</v>
          </cell>
        </row>
        <row r="13">
          <cell r="A13" t="str">
            <v>Moderado-DESENVOLVIMENTO</v>
          </cell>
          <cell r="B13" t="str">
            <v>Moderado</v>
          </cell>
          <cell r="C13" t="str">
            <v>DESENVOLVIMENTO</v>
          </cell>
          <cell r="D13">
            <v>0.1</v>
          </cell>
        </row>
        <row r="14">
          <cell r="A14" t="str">
            <v>Moderado-HOTELARIAS</v>
          </cell>
          <cell r="B14" t="str">
            <v>Moderado</v>
          </cell>
          <cell r="C14" t="str">
            <v>HOTELARIAS</v>
          </cell>
          <cell r="D14">
            <v>0.1</v>
          </cell>
        </row>
        <row r="15">
          <cell r="A15" t="str">
            <v>Agressivo-PAPEL</v>
          </cell>
          <cell r="B15" t="str">
            <v>Agressivo</v>
          </cell>
          <cell r="C15" t="str">
            <v>PAPEL</v>
          </cell>
          <cell r="D15">
            <v>0.5</v>
          </cell>
        </row>
        <row r="16">
          <cell r="A16" t="str">
            <v>Agressivo-TIJOLO</v>
          </cell>
          <cell r="B16" t="str">
            <v>Agressivo</v>
          </cell>
          <cell r="C16" t="str">
            <v>TIJOLO</v>
          </cell>
          <cell r="D16">
            <v>0.1</v>
          </cell>
        </row>
        <row r="17">
          <cell r="A17" t="str">
            <v>Agressivo-HÍBRIDOS</v>
          </cell>
          <cell r="B17" t="str">
            <v>Agressivo</v>
          </cell>
          <cell r="C17" t="str">
            <v>HÍBRIDOS</v>
          </cell>
          <cell r="D17">
            <v>0.05</v>
          </cell>
        </row>
        <row r="18">
          <cell r="A18" t="str">
            <v>Agressivo-FOFs</v>
          </cell>
          <cell r="B18" t="str">
            <v>Agressivo</v>
          </cell>
          <cell r="C18" t="str">
            <v>FOFs</v>
          </cell>
          <cell r="D18">
            <v>0.05</v>
          </cell>
        </row>
        <row r="19">
          <cell r="A19" t="str">
            <v>Agressivo-DESENVOLVIMENTO</v>
          </cell>
          <cell r="B19" t="str">
            <v>Agressivo</v>
          </cell>
          <cell r="C19" t="str">
            <v>DESENVOLVIMENTO</v>
          </cell>
          <cell r="D19">
            <v>0.2</v>
          </cell>
        </row>
        <row r="20">
          <cell r="A20" t="str">
            <v>Agressivo-HOTELARIAS</v>
          </cell>
          <cell r="B20" t="str">
            <v>Agressivo</v>
          </cell>
          <cell r="C20" t="str">
            <v>HOTELARIAS</v>
          </cell>
          <cell r="D2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3968-2CCF-4CB8-B2DD-FE4DAF379F8E}">
  <dimension ref="A10:E73"/>
  <sheetViews>
    <sheetView showGridLines="0" tabSelected="1" topLeftCell="A31" workbookViewId="0">
      <selection activeCell="C32" sqref="C32"/>
    </sheetView>
  </sheetViews>
  <sheetFormatPr defaultColWidth="0" defaultRowHeight="15" x14ac:dyDescent="0.25"/>
  <cols>
    <col min="1" max="1" width="9.140625" customWidth="1"/>
    <col min="2" max="4" width="39.5703125" customWidth="1"/>
    <col min="5" max="5" width="9.140625" customWidth="1"/>
    <col min="6" max="16384" width="9.140625" hidden="1"/>
  </cols>
  <sheetData>
    <row r="10" spans="2:4" ht="15.75" thickBot="1" x14ac:dyDescent="0.3"/>
    <row r="11" spans="2:4" ht="26.25" x14ac:dyDescent="0.3">
      <c r="B11" s="2" t="s">
        <v>13</v>
      </c>
      <c r="C11" s="3"/>
      <c r="D11" s="4"/>
    </row>
    <row r="12" spans="2:4" ht="17.25" x14ac:dyDescent="0.3">
      <c r="B12" s="33" t="s">
        <v>14</v>
      </c>
      <c r="C12" s="34"/>
      <c r="D12" s="9">
        <v>1500</v>
      </c>
    </row>
    <row r="13" spans="2:4" ht="17.25" x14ac:dyDescent="0.3">
      <c r="B13" s="36" t="s">
        <v>15</v>
      </c>
      <c r="C13" s="37"/>
      <c r="D13" s="10">
        <v>0.01</v>
      </c>
    </row>
    <row r="14" spans="2:4" ht="18" thickBot="1" x14ac:dyDescent="0.35">
      <c r="B14" s="40" t="s">
        <v>16</v>
      </c>
      <c r="C14" s="41"/>
      <c r="D14" s="6">
        <f>D12*30%</f>
        <v>450</v>
      </c>
    </row>
    <row r="15" spans="2:4" ht="15.75" thickBot="1" x14ac:dyDescent="0.3"/>
    <row r="16" spans="2:4" ht="30.75" x14ac:dyDescent="0.25">
      <c r="B16" s="29" t="s">
        <v>0</v>
      </c>
      <c r="C16" s="30"/>
      <c r="D16" s="35"/>
    </row>
    <row r="17" spans="1:4" ht="17.25" x14ac:dyDescent="0.3">
      <c r="B17" s="33" t="s">
        <v>1</v>
      </c>
      <c r="C17" s="34"/>
      <c r="D17" s="11">
        <v>500</v>
      </c>
    </row>
    <row r="18" spans="1:4" ht="17.25" x14ac:dyDescent="0.3">
      <c r="B18" s="36" t="s">
        <v>2</v>
      </c>
      <c r="C18" s="37"/>
      <c r="D18" s="12">
        <v>5</v>
      </c>
    </row>
    <row r="19" spans="1:4" ht="17.25" x14ac:dyDescent="0.3">
      <c r="B19" s="36" t="s">
        <v>3</v>
      </c>
      <c r="C19" s="37"/>
      <c r="D19" s="13">
        <v>0.01</v>
      </c>
    </row>
    <row r="20" spans="1:4" ht="17.25" x14ac:dyDescent="0.3">
      <c r="B20" s="31" t="s">
        <v>4</v>
      </c>
      <c r="C20" s="32"/>
      <c r="D20" s="14">
        <f>FV(taxa_mensal,qtd_anos*12,aporte*-1)</f>
        <v>40834.834928204567</v>
      </c>
    </row>
    <row r="21" spans="1:4" ht="18" thickBot="1" x14ac:dyDescent="0.35">
      <c r="B21" s="38" t="s">
        <v>5</v>
      </c>
      <c r="C21" s="39"/>
      <c r="D21" s="7">
        <f>patrimonio*taxa_mensal</f>
        <v>408.34834928204566</v>
      </c>
    </row>
    <row r="22" spans="1:4" ht="15.75" thickBot="1" x14ac:dyDescent="0.3"/>
    <row r="23" spans="1:4" ht="30.75" x14ac:dyDescent="0.25">
      <c r="B23" s="29" t="s">
        <v>6</v>
      </c>
      <c r="C23" s="30"/>
      <c r="D23" s="1" t="s">
        <v>7</v>
      </c>
    </row>
    <row r="24" spans="1:4" ht="17.25" x14ac:dyDescent="0.3">
      <c r="A24" s="5">
        <v>2</v>
      </c>
      <c r="B24" s="15" t="s">
        <v>8</v>
      </c>
      <c r="C24" s="16">
        <f>FV($D$19,$A24*12,$D$17*-1)</f>
        <v>13486.732426595749</v>
      </c>
      <c r="D24" s="17">
        <f>C24*rend_config</f>
        <v>134.86732426595748</v>
      </c>
    </row>
    <row r="25" spans="1:4" ht="17.25" x14ac:dyDescent="0.3">
      <c r="A25" s="5">
        <v>5</v>
      </c>
      <c r="B25" s="18" t="s">
        <v>9</v>
      </c>
      <c r="C25" s="19">
        <f>FV($D$19,$A25*12,$D$17*-1)</f>
        <v>40834.834928204567</v>
      </c>
      <c r="D25" s="20">
        <f>C25*rend_config</f>
        <v>408.34834928204566</v>
      </c>
    </row>
    <row r="26" spans="1:4" ht="17.25" x14ac:dyDescent="0.3">
      <c r="A26" s="5">
        <v>10</v>
      </c>
      <c r="B26" s="18" t="s">
        <v>10</v>
      </c>
      <c r="C26" s="19">
        <f>FV($D$19,$A26*12,$D$17*-1)</f>
        <v>115019.34472868349</v>
      </c>
      <c r="D26" s="20">
        <f>C26*rend_config</f>
        <v>1150.193447286835</v>
      </c>
    </row>
    <row r="27" spans="1:4" ht="17.25" x14ac:dyDescent="0.3">
      <c r="A27" s="5">
        <v>20</v>
      </c>
      <c r="B27" s="18" t="s">
        <v>11</v>
      </c>
      <c r="C27" s="19">
        <f>FV($D$19,$A27*12,$D$17*-1)</f>
        <v>494627.68269368151</v>
      </c>
      <c r="D27" s="20">
        <f>C27*rend_config</f>
        <v>4946.2768269368153</v>
      </c>
    </row>
    <row r="28" spans="1:4" ht="18" thickBot="1" x14ac:dyDescent="0.35">
      <c r="A28" s="5">
        <v>30</v>
      </c>
      <c r="B28" s="21" t="s">
        <v>12</v>
      </c>
      <c r="C28" s="22">
        <f>FV($D$19,$A28*12,$D$17*-1)</f>
        <v>1747482.0663842531</v>
      </c>
      <c r="D28" s="8">
        <f>C28*rend_config</f>
        <v>17474.820663842533</v>
      </c>
    </row>
    <row r="32" spans="1:4" ht="16.5" x14ac:dyDescent="0.3">
      <c r="B32" s="25" t="s">
        <v>17</v>
      </c>
      <c r="C32" s="26" t="s">
        <v>30</v>
      </c>
      <c r="D32" s="23"/>
    </row>
    <row r="33" spans="2:4" ht="16.5" x14ac:dyDescent="0.3">
      <c r="B33" s="27" t="s">
        <v>18</v>
      </c>
      <c r="C33" s="28">
        <f>aporte</f>
        <v>500</v>
      </c>
      <c r="D33" s="24"/>
    </row>
    <row r="35" spans="2:4" x14ac:dyDescent="0.25">
      <c r="B35" s="42" t="s">
        <v>20</v>
      </c>
      <c r="C35" s="42" t="s">
        <v>21</v>
      </c>
      <c r="D35" s="42" t="s">
        <v>22</v>
      </c>
    </row>
    <row r="36" spans="2:4" x14ac:dyDescent="0.25">
      <c r="B36" s="43" t="s">
        <v>23</v>
      </c>
      <c r="C36" s="44">
        <f>VLOOKUP($C$32&amp;"-"&amp;B36,[1]Planilha2!$A:$D,4,FALSE)</f>
        <v>0.3</v>
      </c>
      <c r="D36" s="45">
        <f>C36*$C$33</f>
        <v>150</v>
      </c>
    </row>
    <row r="37" spans="2:4" x14ac:dyDescent="0.25">
      <c r="B37" s="43" t="s">
        <v>24</v>
      </c>
      <c r="C37" s="44">
        <f>VLOOKUP($C$32&amp;"-"&amp;B37,[1]Planilha2!$A:$D,4,FALSE)</f>
        <v>0.5</v>
      </c>
      <c r="D37" s="45">
        <f t="shared" ref="D37:D41" si="0">C37*$C$33</f>
        <v>250</v>
      </c>
    </row>
    <row r="38" spans="2:4" x14ac:dyDescent="0.25">
      <c r="B38" s="43" t="s">
        <v>25</v>
      </c>
      <c r="C38" s="44">
        <f>VLOOKUP($C$32&amp;"-"&amp;B38,[1]Planilha2!$A:$D,4,FALSE)</f>
        <v>0.1</v>
      </c>
      <c r="D38" s="45">
        <f t="shared" si="0"/>
        <v>50</v>
      </c>
    </row>
    <row r="39" spans="2:4" x14ac:dyDescent="0.25">
      <c r="B39" s="43" t="s">
        <v>26</v>
      </c>
      <c r="C39" s="44">
        <f>VLOOKUP($C$32&amp;"-"&amp;B39,[1]Planilha2!$A:$D,4,FALSE)</f>
        <v>0.1</v>
      </c>
      <c r="D39" s="45">
        <f t="shared" si="0"/>
        <v>50</v>
      </c>
    </row>
    <row r="40" spans="2:4" x14ac:dyDescent="0.25">
      <c r="B40" s="43" t="s">
        <v>27</v>
      </c>
      <c r="C40" s="44">
        <f>VLOOKUP($C$32&amp;"-"&amp;B40,[1]Planilha2!$A:$D,4,FALSE)</f>
        <v>0</v>
      </c>
      <c r="D40" s="45">
        <f t="shared" si="0"/>
        <v>0</v>
      </c>
    </row>
    <row r="41" spans="2:4" x14ac:dyDescent="0.25">
      <c r="B41" s="43" t="s">
        <v>28</v>
      </c>
      <c r="C41" s="44">
        <f>VLOOKUP($C$32&amp;"-"&amp;B41,[1]Planilha2!$A:$D,4,FALSE)</f>
        <v>0</v>
      </c>
      <c r="D41" s="45">
        <f t="shared" si="0"/>
        <v>0</v>
      </c>
    </row>
    <row r="42" spans="2:4" x14ac:dyDescent="0.25">
      <c r="B42" s="46"/>
      <c r="C42" s="46"/>
      <c r="D42" s="47">
        <f>SUM(D36:D41)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0">
    <mergeCell ref="B23:C23"/>
    <mergeCell ref="B20:C20"/>
    <mergeCell ref="B12:C12"/>
    <mergeCell ref="B16:D16"/>
    <mergeCell ref="B18:C18"/>
    <mergeCell ref="B19:C19"/>
    <mergeCell ref="B21:C21"/>
    <mergeCell ref="B13:C13"/>
    <mergeCell ref="B14:C14"/>
    <mergeCell ref="B17:C17"/>
  </mergeCells>
  <dataValidations count="1">
    <dataValidation type="list" allowBlank="1" showInputMessage="1" showErrorMessage="1" sqref="C32" xr:uid="{31176D0E-A95D-4A0E-B64A-121D7C2F32B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C168-2BA3-4B98-9596-FF22387318C0}">
  <dimension ref="A2:H20"/>
  <sheetViews>
    <sheetView workbookViewId="0">
      <selection activeCell="G4" sqref="G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6.42578125" customWidth="1"/>
    <col min="7" max="8" width="19.28515625" customWidth="1"/>
  </cols>
  <sheetData>
    <row r="2" spans="1:8" x14ac:dyDescent="0.25">
      <c r="A2" s="48" t="s">
        <v>31</v>
      </c>
      <c r="B2" s="48" t="s">
        <v>17</v>
      </c>
      <c r="C2" s="49" t="s">
        <v>20</v>
      </c>
      <c r="D2" s="49" t="s">
        <v>32</v>
      </c>
    </row>
    <row r="3" spans="1:8" x14ac:dyDescent="0.25">
      <c r="A3" t="str">
        <f>B3&amp;"-"&amp;C3</f>
        <v>Conservador-PAPEL</v>
      </c>
      <c r="B3" t="s">
        <v>30</v>
      </c>
      <c r="C3" s="43" t="s">
        <v>23</v>
      </c>
      <c r="D3" s="44">
        <v>0.3</v>
      </c>
    </row>
    <row r="4" spans="1:8" x14ac:dyDescent="0.25">
      <c r="A4" t="str">
        <f t="shared" ref="A4:A20" si="0">B4&amp;"-"&amp;C4</f>
        <v>Conservador-TIJOLO</v>
      </c>
      <c r="B4" t="s">
        <v>30</v>
      </c>
      <c r="C4" s="43" t="s">
        <v>24</v>
      </c>
      <c r="D4" s="44">
        <v>0.5</v>
      </c>
      <c r="G4" s="23" t="s">
        <v>33</v>
      </c>
      <c r="H4" s="56">
        <f>VLOOKUP(G4,$A:$D,4,FALSE)</f>
        <v>0.35</v>
      </c>
    </row>
    <row r="5" spans="1:8" x14ac:dyDescent="0.25">
      <c r="A5" t="str">
        <f t="shared" si="0"/>
        <v>Conservador-HÍBRIDOS</v>
      </c>
      <c r="B5" t="s">
        <v>30</v>
      </c>
      <c r="C5" s="43" t="s">
        <v>25</v>
      </c>
      <c r="D5" s="44">
        <v>0.1</v>
      </c>
    </row>
    <row r="6" spans="1:8" x14ac:dyDescent="0.25">
      <c r="A6" t="str">
        <f t="shared" si="0"/>
        <v>Conservador-FOFs</v>
      </c>
      <c r="B6" t="s">
        <v>30</v>
      </c>
      <c r="C6" s="43" t="s">
        <v>26</v>
      </c>
      <c r="D6" s="44">
        <v>0.1</v>
      </c>
    </row>
    <row r="7" spans="1:8" x14ac:dyDescent="0.25">
      <c r="A7" t="str">
        <f t="shared" si="0"/>
        <v>Conservador-DESENVOLVIMENTO</v>
      </c>
      <c r="B7" t="s">
        <v>30</v>
      </c>
      <c r="C7" s="43" t="s">
        <v>27</v>
      </c>
      <c r="D7" s="44">
        <v>0</v>
      </c>
    </row>
    <row r="8" spans="1:8" ht="15.75" thickBot="1" x14ac:dyDescent="0.3">
      <c r="A8" s="50" t="str">
        <f t="shared" si="0"/>
        <v>Conservador-HOTELARIAS</v>
      </c>
      <c r="B8" s="50" t="s">
        <v>30</v>
      </c>
      <c r="C8" s="51" t="s">
        <v>28</v>
      </c>
      <c r="D8" s="52">
        <v>0</v>
      </c>
    </row>
    <row r="9" spans="1:8" x14ac:dyDescent="0.25">
      <c r="A9" t="str">
        <f t="shared" si="0"/>
        <v>Moderado-PAPEL</v>
      </c>
      <c r="B9" t="s">
        <v>29</v>
      </c>
      <c r="C9" s="43" t="s">
        <v>23</v>
      </c>
      <c r="D9" s="44">
        <v>0.32</v>
      </c>
    </row>
    <row r="10" spans="1:8" x14ac:dyDescent="0.25">
      <c r="A10" s="53" t="str">
        <f t="shared" si="0"/>
        <v>Moderado-TIJOLO</v>
      </c>
      <c r="B10" s="53" t="s">
        <v>29</v>
      </c>
      <c r="C10" s="54" t="s">
        <v>24</v>
      </c>
      <c r="D10" s="55">
        <v>0.35</v>
      </c>
    </row>
    <row r="11" spans="1:8" x14ac:dyDescent="0.25">
      <c r="A11" t="str">
        <f t="shared" si="0"/>
        <v>Moderado-HÍBRIDOS</v>
      </c>
      <c r="B11" t="s">
        <v>29</v>
      </c>
      <c r="C11" s="43" t="s">
        <v>25</v>
      </c>
      <c r="D11" s="44">
        <v>0.08</v>
      </c>
    </row>
    <row r="12" spans="1:8" x14ac:dyDescent="0.25">
      <c r="A12" t="str">
        <f t="shared" si="0"/>
        <v>Moderado-FOFs</v>
      </c>
      <c r="B12" t="s">
        <v>29</v>
      </c>
      <c r="C12" s="43" t="s">
        <v>26</v>
      </c>
      <c r="D12" s="44">
        <v>0.05</v>
      </c>
    </row>
    <row r="13" spans="1:8" x14ac:dyDescent="0.25">
      <c r="A13" t="str">
        <f t="shared" si="0"/>
        <v>Moderado-DESENVOLVIMENTO</v>
      </c>
      <c r="B13" t="s">
        <v>29</v>
      </c>
      <c r="C13" s="43" t="s">
        <v>27</v>
      </c>
      <c r="D13" s="44">
        <v>0.1</v>
      </c>
    </row>
    <row r="14" spans="1:8" ht="15.75" thickBot="1" x14ac:dyDescent="0.3">
      <c r="A14" s="50" t="str">
        <f t="shared" si="0"/>
        <v>Moderado-HOTELARIAS</v>
      </c>
      <c r="B14" s="50" t="s">
        <v>29</v>
      </c>
      <c r="C14" s="51" t="s">
        <v>28</v>
      </c>
      <c r="D14" s="52">
        <v>0.1</v>
      </c>
    </row>
    <row r="15" spans="1:8" x14ac:dyDescent="0.25">
      <c r="A15" t="str">
        <f t="shared" si="0"/>
        <v>Agressivo-PAPEL</v>
      </c>
      <c r="B15" t="s">
        <v>19</v>
      </c>
      <c r="C15" s="43" t="s">
        <v>23</v>
      </c>
      <c r="D15" s="44">
        <v>0.5</v>
      </c>
    </row>
    <row r="16" spans="1:8" x14ac:dyDescent="0.25">
      <c r="A16" t="str">
        <f t="shared" si="0"/>
        <v>Agressivo-TIJOLO</v>
      </c>
      <c r="B16" t="s">
        <v>19</v>
      </c>
      <c r="C16" s="43" t="s">
        <v>24</v>
      </c>
      <c r="D16" s="44">
        <v>0.1</v>
      </c>
    </row>
    <row r="17" spans="1:4" x14ac:dyDescent="0.25">
      <c r="A17" t="str">
        <f t="shared" si="0"/>
        <v>Agressivo-HÍBRIDOS</v>
      </c>
      <c r="B17" t="s">
        <v>19</v>
      </c>
      <c r="C17" s="43" t="s">
        <v>25</v>
      </c>
      <c r="D17" s="44">
        <v>0.05</v>
      </c>
    </row>
    <row r="18" spans="1:4" x14ac:dyDescent="0.25">
      <c r="A18" t="str">
        <f t="shared" si="0"/>
        <v>Agressivo-FOFs</v>
      </c>
      <c r="B18" t="s">
        <v>19</v>
      </c>
      <c r="C18" s="43" t="s">
        <v>26</v>
      </c>
      <c r="D18" s="44">
        <v>0.05</v>
      </c>
    </row>
    <row r="19" spans="1:4" x14ac:dyDescent="0.25">
      <c r="A19" t="str">
        <f t="shared" si="0"/>
        <v>Agressivo-DESENVOLVIMENTO</v>
      </c>
      <c r="B19" t="s">
        <v>19</v>
      </c>
      <c r="C19" s="43" t="s">
        <v>27</v>
      </c>
      <c r="D19" s="44">
        <v>0.2</v>
      </c>
    </row>
    <row r="20" spans="1:4" x14ac:dyDescent="0.25">
      <c r="A20" t="str">
        <f t="shared" si="0"/>
        <v>Agressivo-HOTELARIAS</v>
      </c>
      <c r="B20" t="s">
        <v>19</v>
      </c>
      <c r="C20" s="43" t="s">
        <v>28</v>
      </c>
      <c r="D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Planilha1</vt:lpstr>
      <vt:lpstr>Planilha2</vt:lpstr>
      <vt:lpstr>aporte</vt:lpstr>
      <vt:lpstr>patrimonio</vt:lpstr>
      <vt:lpstr>qtd_anos</vt:lpstr>
      <vt:lpstr>rend</vt:lpstr>
      <vt:lpstr>rend_cart</vt:lpstr>
      <vt:lpstr>rend_carteira</vt:lpstr>
      <vt:lpstr>rend_config</vt:lpstr>
      <vt:lpstr>rendimento_carteira</vt:lpstr>
      <vt:lpstr>RENDIMENTOS</vt:lpstr>
      <vt:lpstr>taxa_mensal</vt:lpstr>
      <vt:lpstr>taxadomes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Oliveira</dc:creator>
  <cp:lastModifiedBy>Vinicius Oliveira</cp:lastModifiedBy>
  <dcterms:created xsi:type="dcterms:W3CDTF">2026-02-04T13:24:15Z</dcterms:created>
  <dcterms:modified xsi:type="dcterms:W3CDTF">2026-02-05T13:00:55Z</dcterms:modified>
</cp:coreProperties>
</file>